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bilidade Lote 50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%"/>
    <numFmt numFmtId="166" formatCode="0.0x"/>
    <numFmt numFmtId="167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2E75B6"/>
      <sz val="14"/>
    </font>
    <font>
      <name val="Arial"/>
      <color rgb="00666666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sz val="11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7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TABELA DE VIABILIDADE FINANCEIRA</t>
        </is>
      </c>
    </row>
    <row r="2">
      <c r="A2" s="2" t="inlineStr">
        <is>
          <t>Marca de Moda - Modelo de Lotes Fechados</t>
        </is>
      </c>
    </row>
    <row r="4">
      <c r="A4" s="3" t="inlineStr">
        <is>
          <t>1. DADOS BÁSICOS DO LOTE</t>
        </is>
      </c>
    </row>
    <row r="5">
      <c r="A5" s="4" t="inlineStr">
        <is>
          <t>Parâmetro</t>
        </is>
      </c>
      <c r="B5" s="4" t="inlineStr">
        <is>
          <t>Valor</t>
        </is>
      </c>
      <c r="C5" s="4" t="inlineStr">
        <is>
          <t>Unidade</t>
        </is>
      </c>
    </row>
    <row r="6">
      <c r="A6" s="5" t="inlineStr">
        <is>
          <t>Quantidade Total de Peças</t>
        </is>
      </c>
      <c r="B6" s="6" t="n">
        <v>50</v>
      </c>
      <c r="C6" s="5" t="inlineStr">
        <is>
          <t>unidades</t>
        </is>
      </c>
    </row>
    <row r="7">
      <c r="A7" s="5" t="inlineStr">
        <is>
          <t>Preço de Venda por Peça</t>
        </is>
      </c>
      <c r="B7" s="6" t="n">
        <v>180</v>
      </c>
      <c r="C7" s="5" t="inlineStr">
        <is>
          <t>R$</t>
        </is>
      </c>
    </row>
    <row r="8">
      <c r="A8" s="5" t="inlineStr"/>
      <c r="B8" s="5" t="inlineStr"/>
      <c r="C8" s="5" t="inlineStr"/>
    </row>
    <row r="10">
      <c r="A10" s="3" t="inlineStr">
        <is>
          <t>2. CUSTOS DE MATERIAIS</t>
        </is>
      </c>
    </row>
    <row r="11">
      <c r="A11" s="4" t="inlineStr">
        <is>
          <t>Item</t>
        </is>
      </c>
      <c r="B11" s="4" t="inlineStr">
        <is>
          <t>Quantidade</t>
        </is>
      </c>
      <c r="C11" s="4" t="inlineStr">
        <is>
          <t>Preço Unit.</t>
        </is>
      </c>
      <c r="D11" s="4" t="inlineStr">
        <is>
          <t>Total</t>
        </is>
      </c>
      <c r="E11" s="4" t="inlineStr">
        <is>
          <t>Observações</t>
        </is>
      </c>
    </row>
    <row r="12">
      <c r="A12" s="5" t="inlineStr">
        <is>
          <t>Tecido Principal</t>
        </is>
      </c>
      <c r="B12" s="6" t="n">
        <v>76</v>
      </c>
      <c r="C12" s="7" t="n">
        <v>25</v>
      </c>
      <c r="D12" s="8">
        <f>B12*C12</f>
        <v/>
      </c>
      <c r="E12" s="5" t="inlineStr">
        <is>
          <t>Viscose 100%, 76m com margem 8%</t>
        </is>
      </c>
    </row>
    <row r="13">
      <c r="A13" s="5" t="inlineStr">
        <is>
          <t>Aviamentos (botões, linhas)</t>
        </is>
      </c>
      <c r="B13" s="6" t="n">
        <v>50</v>
      </c>
      <c r="C13" s="7" t="n">
        <v>4</v>
      </c>
      <c r="D13" s="8">
        <f>B13*C13</f>
        <v/>
      </c>
      <c r="E13" s="5" t="inlineStr">
        <is>
          <t>R$ 4,00 por peça</t>
        </is>
      </c>
    </row>
    <row r="14">
      <c r="A14" s="5" t="inlineStr">
        <is>
          <t>Etiquetas (tecida + externa)</t>
        </is>
      </c>
      <c r="B14" s="6" t="n">
        <v>50</v>
      </c>
      <c r="C14" s="7" t="n">
        <v>2.5</v>
      </c>
      <c r="D14" s="8">
        <f>B14*C14</f>
        <v/>
      </c>
      <c r="E14" s="5" t="inlineStr">
        <is>
          <t>R$ 2,50 por conjunto</t>
        </is>
      </c>
    </row>
    <row r="15">
      <c r="A15" s="5" t="inlineStr">
        <is>
          <t>Embalagem Individual</t>
        </is>
      </c>
      <c r="B15" s="6" t="n">
        <v>50</v>
      </c>
      <c r="C15" s="7" t="n">
        <v>1.5</v>
      </c>
      <c r="D15" s="8">
        <f>B15*C15</f>
        <v/>
      </c>
      <c r="E15" s="5" t="inlineStr">
        <is>
          <t>Saco plástico + tag</t>
        </is>
      </c>
    </row>
    <row r="16">
      <c r="A16" s="9" t="inlineStr">
        <is>
          <t>SUBTOTAL MATERIAIS</t>
        </is>
      </c>
      <c r="B16" s="10" t="n"/>
      <c r="C16" s="11" t="n"/>
      <c r="D16" s="12">
        <f>SUM(D12:D15)</f>
        <v/>
      </c>
    </row>
    <row r="18">
      <c r="A18" s="3" t="inlineStr">
        <is>
          <t>3. CUSTOS DE PRODUÇÃO (TERCEIRIZADA)</t>
        </is>
      </c>
    </row>
    <row r="19">
      <c r="A19" s="4" t="inlineStr">
        <is>
          <t>Item</t>
        </is>
      </c>
      <c r="B19" s="4" t="inlineStr">
        <is>
          <t>Quantidade</t>
        </is>
      </c>
      <c r="C19" s="4" t="inlineStr">
        <is>
          <t>Preço Unit.</t>
        </is>
      </c>
      <c r="D19" s="4" t="inlineStr">
        <is>
          <t>Total</t>
        </is>
      </c>
      <c r="E19" s="4" t="inlineStr">
        <is>
          <t>Observações</t>
        </is>
      </c>
    </row>
    <row r="20">
      <c r="A20" s="5" t="inlineStr">
        <is>
          <t>Costura (preço fixo)</t>
        </is>
      </c>
      <c r="B20" s="6" t="n">
        <v>50</v>
      </c>
      <c r="C20" s="7" t="n">
        <v>25</v>
      </c>
      <c r="D20" s="8">
        <f>B20*C20</f>
        <v/>
      </c>
      <c r="E20" s="5" t="inlineStr">
        <is>
          <t>Valor negociado por peça finalizada</t>
        </is>
      </c>
    </row>
    <row r="21">
      <c r="A21" s="9" t="inlineStr">
        <is>
          <t>SUBTOTAL PRODUÇÃO</t>
        </is>
      </c>
      <c r="B21" s="10" t="n"/>
      <c r="C21" s="11" t="n"/>
      <c r="D21" s="12">
        <f>D20</f>
        <v/>
      </c>
    </row>
    <row r="23">
      <c r="A23" s="3" t="inlineStr">
        <is>
          <t>4. CUSTOS OPERACIONAIS E LOGÍSTICA</t>
        </is>
      </c>
    </row>
    <row r="24">
      <c r="A24" s="4" t="inlineStr">
        <is>
          <t>Item</t>
        </is>
      </c>
      <c r="B24" s="4" t="inlineStr">
        <is>
          <t>Quantidade</t>
        </is>
      </c>
      <c r="C24" s="4" t="inlineStr">
        <is>
          <t>Custo Médio</t>
        </is>
      </c>
      <c r="D24" s="4" t="inlineStr">
        <is>
          <t>Total</t>
        </is>
      </c>
      <c r="E24" s="4" t="inlineStr">
        <is>
          <t>Observações</t>
        </is>
      </c>
    </row>
    <row r="25">
      <c r="A25" s="5" t="inlineStr">
        <is>
          <t>Fotografia do Lote</t>
        </is>
      </c>
      <c r="B25" s="6" t="n">
        <v>1</v>
      </c>
      <c r="C25" s="7" t="n">
        <v>500</v>
      </c>
      <c r="D25" s="8">
        <f>B25*C25</f>
        <v/>
      </c>
      <c r="E25" s="5" t="inlineStr">
        <is>
          <t>Sessão profissional + edição</t>
        </is>
      </c>
    </row>
    <row r="26">
      <c r="A26" s="5" t="inlineStr">
        <is>
          <t>Frete/Transporte (envio)</t>
        </is>
      </c>
      <c r="B26" s="6" t="n">
        <v>50</v>
      </c>
      <c r="C26" s="7" t="n">
        <v>15</v>
      </c>
      <c r="D26" s="8">
        <f>B26*C26</f>
        <v/>
      </c>
      <c r="E26" s="5" t="inlineStr">
        <is>
          <t>Média R$ 15 por envio</t>
        </is>
      </c>
    </row>
    <row r="27">
      <c r="A27" s="5" t="inlineStr">
        <is>
          <t>Taxas de Marketplace/Site</t>
        </is>
      </c>
      <c r="B27" s="6" t="n">
        <v>1</v>
      </c>
      <c r="C27" s="7" t="n">
        <v>450</v>
      </c>
      <c r="D27" s="8">
        <f>B27*C27</f>
        <v/>
      </c>
      <c r="E27" s="5" t="inlineStr">
        <is>
          <t>Comissões estimadas (5% vendas)</t>
        </is>
      </c>
    </row>
    <row r="28">
      <c r="A28" s="5" t="inlineStr">
        <is>
          <t>Marketing Digital</t>
        </is>
      </c>
      <c r="B28" s="6" t="n">
        <v>1</v>
      </c>
      <c r="C28" s="7" t="n">
        <v>300</v>
      </c>
      <c r="D28" s="8">
        <f>B28*C28</f>
        <v/>
      </c>
      <c r="E28" s="5" t="inlineStr">
        <is>
          <t>Ads + conteúdo</t>
        </is>
      </c>
    </row>
    <row r="29">
      <c r="A29" s="9" t="inlineStr">
        <is>
          <t>SUBTOTAL OPERACIONAL</t>
        </is>
      </c>
      <c r="B29" s="10" t="n"/>
      <c r="C29" s="11" t="n"/>
      <c r="D29" s="12">
        <f>SUM(D25:D28)</f>
        <v/>
      </c>
    </row>
    <row r="31">
      <c r="A31" s="3" t="inlineStr">
        <is>
          <t>5. IMPOSTOS E TAXAS</t>
        </is>
      </c>
    </row>
    <row r="32">
      <c r="A32" s="4" t="inlineStr">
        <is>
          <t>Tipo</t>
        </is>
      </c>
      <c r="B32" s="4" t="inlineStr">
        <is>
          <t>Base Cálculo</t>
        </is>
      </c>
      <c r="C32" s="4" t="inlineStr">
        <is>
          <t>Alíquota</t>
        </is>
      </c>
      <c r="D32" s="4" t="inlineStr">
        <is>
          <t>Valor</t>
        </is>
      </c>
      <c r="E32" s="4" t="inlineStr">
        <is>
          <t>Observações</t>
        </is>
      </c>
    </row>
    <row r="33">
      <c r="A33" s="5" t="inlineStr">
        <is>
          <t>Receita Bruta Total</t>
        </is>
      </c>
      <c r="B33" s="8">
        <f>B6*B7</f>
        <v/>
      </c>
      <c r="C33" s="13" t="inlineStr">
        <is>
          <t>-</t>
        </is>
      </c>
      <c r="D33" s="8">
        <f>B33</f>
        <v/>
      </c>
      <c r="E33" s="5" t="inlineStr">
        <is>
          <t>50 peças × R$ 180</t>
        </is>
      </c>
    </row>
    <row r="34">
      <c r="A34" s="5" t="inlineStr">
        <is>
          <t>Simples Nacional (Anexo I)</t>
        </is>
      </c>
      <c r="B34" s="8">
        <f>D33</f>
        <v/>
      </c>
      <c r="C34" s="14" t="n">
        <v>0.06</v>
      </c>
      <c r="D34" s="8">
        <f>B34*C34</f>
        <v/>
      </c>
      <c r="E34" s="5" t="inlineStr">
        <is>
          <t>Alíquota 6% até R$ 180k/ano</t>
        </is>
      </c>
    </row>
    <row r="35">
      <c r="A35" s="9" t="inlineStr">
        <is>
          <t>SUBTOTAL IMPOSTOS</t>
        </is>
      </c>
      <c r="B35" s="10" t="n"/>
      <c r="C35" s="11" t="n"/>
      <c r="D35" s="12">
        <f>D34</f>
        <v/>
      </c>
    </row>
    <row r="37">
      <c r="A37" s="3" t="inlineStr">
        <is>
          <t>6. RESUMO FINANCEIRO</t>
        </is>
      </c>
    </row>
    <row r="38">
      <c r="A38" s="4" t="inlineStr">
        <is>
          <t>Descrição</t>
        </is>
      </c>
      <c r="B38" s="4" t="inlineStr">
        <is>
          <t>Valor Total</t>
        </is>
      </c>
      <c r="C38" s="4" t="inlineStr">
        <is>
          <t>Valor/Peça</t>
        </is>
      </c>
      <c r="D38" s="4" t="inlineStr">
        <is>
          <t>% Receita</t>
        </is>
      </c>
    </row>
    <row r="39">
      <c r="A39" s="15" t="inlineStr">
        <is>
          <t>RECEITA TOTAL</t>
        </is>
      </c>
      <c r="B39" s="16">
        <f>D33</f>
        <v/>
      </c>
      <c r="C39" s="16">
        <f>B39/B6</f>
        <v/>
      </c>
      <c r="D39" s="17">
        <f>B39/D33</f>
        <v/>
      </c>
    </row>
    <row r="40">
      <c r="A40" s="5" t="inlineStr">
        <is>
          <t>(-) Custo de Materiais</t>
        </is>
      </c>
      <c r="B40" s="8">
        <f>D16</f>
        <v/>
      </c>
      <c r="C40" s="8">
        <f>B40/B6</f>
        <v/>
      </c>
      <c r="D40" s="18">
        <f>B40/D33</f>
        <v/>
      </c>
    </row>
    <row r="41">
      <c r="A41" s="5" t="inlineStr">
        <is>
          <t>(-) Custo de Produção</t>
        </is>
      </c>
      <c r="B41" s="8">
        <f>D21</f>
        <v/>
      </c>
      <c r="C41" s="8">
        <f>B41/B6</f>
        <v/>
      </c>
      <c r="D41" s="18">
        <f>B41/D33</f>
        <v/>
      </c>
    </row>
    <row r="42">
      <c r="A42" s="5" t="inlineStr">
        <is>
          <t>(-) Custos Operacionais</t>
        </is>
      </c>
      <c r="B42" s="8">
        <f>D29</f>
        <v/>
      </c>
      <c r="C42" s="8">
        <f>B42/B6</f>
        <v/>
      </c>
      <c r="D42" s="18">
        <f>B42/D33</f>
        <v/>
      </c>
    </row>
    <row r="43">
      <c r="A43" s="5" t="inlineStr">
        <is>
          <t>(-) Impostos</t>
        </is>
      </c>
      <c r="B43" s="8">
        <f>D35</f>
        <v/>
      </c>
      <c r="C43" s="8">
        <f>B43/B6</f>
        <v/>
      </c>
      <c r="D43" s="18">
        <f>B43/D33</f>
        <v/>
      </c>
    </row>
    <row r="44">
      <c r="A44" s="19" t="inlineStr">
        <is>
          <t>LUCRO BRUTO</t>
        </is>
      </c>
      <c r="B44" s="20">
        <f>B39-B40-B41-B42-B43</f>
        <v/>
      </c>
      <c r="C44" s="20">
        <f>B44/B6</f>
        <v/>
      </c>
      <c r="D44" s="21">
        <f>B44/D33</f>
        <v/>
      </c>
    </row>
    <row r="46">
      <c r="A46" s="3" t="inlineStr">
        <is>
          <t>7. INDICADORES DE PERFORMANCE</t>
        </is>
      </c>
    </row>
    <row r="47">
      <c r="A47" s="4" t="inlineStr">
        <is>
          <t>Indicador</t>
        </is>
      </c>
      <c r="B47" s="4" t="inlineStr">
        <is>
          <t>Valor</t>
        </is>
      </c>
      <c r="C47" s="4" t="inlineStr">
        <is>
          <t>Status</t>
        </is>
      </c>
    </row>
    <row r="48">
      <c r="A48" s="5" t="inlineStr">
        <is>
          <t>Margem de Lucro (%)</t>
        </is>
      </c>
      <c r="B48" s="22">
        <f>D44</f>
        <v/>
      </c>
      <c r="C48" s="13">
        <f>IF(B48&gt;=0.3,"✓ Ótima",IF(B48&gt;=0.2,"⚠ Aceitável","✗ Baixa"))</f>
        <v/>
      </c>
    </row>
    <row r="49">
      <c r="A49" s="5" t="inlineStr">
        <is>
          <t>Custo Total por Peça</t>
        </is>
      </c>
      <c r="B49" s="8">
        <f>(B40+B41+B42+B43)/B6</f>
        <v/>
      </c>
      <c r="C49" s="13">
        <f>IF(B49&lt;B7*0.6,"✓ Saudável","⚠ Atençao")</f>
        <v/>
      </c>
    </row>
    <row r="50">
      <c r="A50" s="5" t="inlineStr">
        <is>
          <t>Markup sobre Custo</t>
        </is>
      </c>
      <c r="B50" s="23">
        <f>(B6*B7)/(B40+B41+B42+B43)</f>
        <v/>
      </c>
      <c r="C50" s="13">
        <f>IF(B50&gt;=2,"✓ Excelente",IF(B50&gt;=1.5,"⚠ Adequado","✗ Arriscado"))</f>
        <v/>
      </c>
    </row>
    <row r="51">
      <c r="A51" s="5" t="inlineStr">
        <is>
          <t>Ponto de Equilíbrio (unidades)</t>
        </is>
      </c>
      <c r="B51" s="24">
        <f>(B40+B41+B42+B43)/B7</f>
        <v/>
      </c>
      <c r="C51" s="13">
        <f>IF(B51&lt;B6*0.7,"✓ Seguro","⚠ Alto")</f>
        <v/>
      </c>
    </row>
    <row r="53">
      <c r="A53" s="25" t="inlineStr">
        <is>
          <t>NOTAS IMPORTANTES:</t>
        </is>
      </c>
    </row>
    <row r="54">
      <c r="A54" s="26" t="inlineStr">
        <is>
          <t>• Valores em AZUL são inputs que podem ser alterados conforme seu negócio</t>
        </is>
      </c>
    </row>
    <row r="55">
      <c r="A55" s="26" t="inlineStr">
        <is>
          <t>• Valores em PRETO são calculados automaticamente</t>
        </is>
      </c>
    </row>
    <row r="56">
      <c r="A56" s="26" t="inlineStr">
        <is>
          <t>• Margem ideal: acima de 30% para sustentabilidade do negócio</t>
        </is>
      </c>
    </row>
    <row r="57">
      <c r="A57" s="26" t="inlineStr">
        <is>
          <t>• Custos variáveis (materiais, produção) devem ficar abaixo de 50% da receita</t>
        </is>
      </c>
    </row>
    <row r="58">
      <c r="A58" s="26" t="inlineStr">
        <is>
          <t>• Considere criar reserva de 10-15% do lucro para reinvestimento</t>
        </is>
      </c>
    </row>
  </sheetData>
  <mergeCells count="6">
    <mergeCell ref="A2:E2"/>
    <mergeCell ref="A1:E1"/>
    <mergeCell ref="A21:C21"/>
    <mergeCell ref="A35:C35"/>
    <mergeCell ref="A29:C2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2026-03-09T14:04:36Z</dcterms:created>
  <dcterms:modified xmlns:dcterms="http://purl.org/dc/terms/" xmlns:xsi="http://www.w3.org/2001/XMLSchema-instance" xsi:type="dcterms:W3CDTF">2026-03-09T14:04:36Z</dcterms:modified>
</cp:coreProperties>
</file>